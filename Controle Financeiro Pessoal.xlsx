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5ce4e28da4f432/Documentos/Marcos JR/Cotidiano/Portfólio/"/>
    </mc:Choice>
  </mc:AlternateContent>
  <xr:revisionPtr revIDLastSave="6716" documentId="13_ncr:1_{9AD84E14-F51D-4A06-96D2-B70D0C1861B5}" xr6:coauthVersionLast="47" xr6:coauthVersionMax="47" xr10:uidLastSave="{7E41BEF9-059E-4C7B-B899-1FA2EC504E6C}"/>
  <bookViews>
    <workbookView xWindow="-120" yWindow="-120" windowWidth="29040" windowHeight="15720" xr2:uid="{75B3297E-5C87-49CF-8219-76E1F125FDFC}"/>
  </bookViews>
  <sheets>
    <sheet name="Controle" sheetId="3" r:id="rId1"/>
    <sheet name="Cotidiano" sheetId="1" r:id="rId2"/>
    <sheet name="GPNP - 1°S" sheetId="4" r:id="rId3"/>
    <sheet name="GPNP - 2°S" sheetId="7" r:id="rId4"/>
  </sheets>
  <externalReferences>
    <externalReference r:id="rId5"/>
  </externalReferences>
  <definedNames>
    <definedName name="_xlnm._FilterDatabase" localSheetId="1" hidden="1">Cotidiano!$B$3:$N$14</definedName>
    <definedName name="_xlnm._FilterDatabase" localSheetId="2" hidden="1">'GPNP - 1°S'!$B$4:$X$4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  <c r="C13" i="1"/>
  <c r="N13" i="1"/>
  <c r="M13" i="1"/>
  <c r="L13" i="1"/>
  <c r="K13" i="1"/>
  <c r="J13" i="1"/>
  <c r="I13" i="1"/>
  <c r="H17" i="1" l="1"/>
  <c r="E17" i="1"/>
  <c r="L17" i="1"/>
  <c r="F17" i="1"/>
  <c r="D17" i="1"/>
  <c r="J17" i="1"/>
  <c r="G17" i="1"/>
  <c r="C17" i="1"/>
  <c r="N17" i="1"/>
  <c r="M17" i="1"/>
  <c r="K17" i="1"/>
  <c r="I17" i="1"/>
  <c r="Q8" i="1" l="1"/>
  <c r="C9" i="3" s="1"/>
  <c r="M18" i="1"/>
  <c r="D18" i="1"/>
  <c r="N18" i="1"/>
  <c r="K18" i="1"/>
  <c r="H18" i="1"/>
  <c r="C18" i="1" l="1"/>
  <c r="L18" i="1"/>
  <c r="J18" i="1"/>
  <c r="I18" i="1"/>
  <c r="G18" i="1"/>
  <c r="F18" i="1"/>
  <c r="E18" i="1"/>
  <c r="Q7" i="1" l="1"/>
  <c r="Q10" i="1" s="1"/>
  <c r="D9" i="3"/>
</calcChain>
</file>

<file path=xl/sharedStrings.xml><?xml version="1.0" encoding="utf-8"?>
<sst xmlns="http://schemas.openxmlformats.org/spreadsheetml/2006/main" count="86" uniqueCount="53">
  <si>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</si>
  <si>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</si>
  <si>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</si>
  <si>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</si>
  <si>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</si>
  <si>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</si>
  <si>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</si>
  <si>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</si>
  <si>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</si>
  <si>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</si>
  <si>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</si>
  <si>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</si>
  <si>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Internet</t>
  </si>
  <si>
    <t>Office Microsoft</t>
  </si>
  <si>
    <t>Finclass</t>
  </si>
  <si>
    <t>TOTAL DE GASTOS</t>
  </si>
  <si>
    <t>LUCRO</t>
  </si>
  <si>
    <t>Produto</t>
  </si>
  <si>
    <t xml:space="preserve">Data </t>
  </si>
  <si>
    <t>Valor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</si>
  <si>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</si>
  <si>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</si>
  <si>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</si>
  <si>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</si>
  <si>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</si>
  <si>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</si>
  <si>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</si>
  <si>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</si>
  <si>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</si>
  <si>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</si>
  <si>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</si>
  <si>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</si>
  <si>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GPNP</t>
  </si>
  <si>
    <t>Itens</t>
  </si>
  <si>
    <t>Salário</t>
  </si>
  <si>
    <t>Ano</t>
  </si>
  <si>
    <t>Gasto</t>
  </si>
  <si>
    <t>Lucro</t>
  </si>
  <si>
    <t>Gastos Pontuais Não Previstos - 2026 (2°S)</t>
  </si>
  <si>
    <t>Gastos Pontuais Não Previstos - 2026 (1°S)</t>
  </si>
  <si>
    <t>Controle</t>
  </si>
  <si>
    <t>Cotidiano (Contas do Ano)</t>
  </si>
  <si>
    <t>Churrasco</t>
  </si>
  <si>
    <t>Bermuda</t>
  </si>
  <si>
    <t>Lanche</t>
  </si>
  <si>
    <t>Faculdade</t>
  </si>
  <si>
    <t>Luz</t>
  </si>
  <si>
    <t>Água</t>
  </si>
  <si>
    <t>Aluguel</t>
  </si>
  <si>
    <t>Corte de cabelo + Barba</t>
  </si>
  <si>
    <t>Resultado</t>
  </si>
  <si>
    <t>Tot_Lucro 2026</t>
  </si>
  <si>
    <t>Tot_Gasto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</si>
</sst>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[$-416]d\-mmm;@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theme="9" tint="-0.499984740745262"/>
      <name val="Aptos Narrow"/>
      <family val="2"/>
    </font>
    <font>
      <b/>
      <sz val="16"/>
      <color theme="0"/>
      <name val="Aptos Narrow"/>
      <family val="2"/>
    </font>
    <font>
      <sz val="11"/>
      <color theme="0"/>
      <name val="Aptos Narrow"/>
      <family val="2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44" fontId="4" fillId="0" borderId="0" xfId="0" applyNumberFormat="1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44" fontId="4" fillId="0" borderId="0" xfId="0" applyNumberFormat="1" applyFont="1"/>
    <xf numFmtId="8" fontId="4" fillId="0" borderId="0" xfId="0" applyNumberFormat="1" applyFont="1"/>
    <xf numFmtId="165" fontId="6" fillId="0" borderId="0" xfId="0" applyNumberFormat="1" applyFont="1"/>
    <xf numFmtId="44" fontId="7" fillId="0" borderId="0" xfId="0" applyNumberFormat="1" applyFont="1"/>
    <xf numFmtId="166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 vertical="center"/>
    </xf>
    <xf numFmtId="0" fontId="9" fillId="2" borderId="0" xfId="0" applyFont="1" applyFill="1"/>
    <xf numFmtId="0" fontId="2" fillId="0" borderId="3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8" fillId="2" borderId="0" xfId="0" applyFont="1" applyFill="1" applyAlignment="1">
      <alignment vertical="center"/>
    </xf>
    <xf numFmtId="44" fontId="0" fillId="0" borderId="9" xfId="0" applyNumberFormat="1" applyBorder="1"/>
    <xf numFmtId="44" fontId="0" fillId="0" borderId="10" xfId="0" applyNumberFormat="1" applyBorder="1"/>
    <xf numFmtId="0" fontId="0" fillId="0" borderId="11" xfId="0" applyBorder="1"/>
    <xf numFmtId="44" fontId="0" fillId="0" borderId="12" xfId="0" applyNumberFormat="1" applyBorder="1"/>
    <xf numFmtId="44" fontId="10" fillId="0" borderId="13" xfId="0" applyNumberFormat="1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2"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416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font>
        <strike val="0"/>
        <outline val="0"/>
        <shadow val="0"/>
        <vertAlign val="baseline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rgb="FF00B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2F8EE"/>
      <color rgb="FF60933D"/>
      <color rgb="FF5785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none">
                <a:solidFill>
                  <a:sysClr val="windowText" lastClr="000000"/>
                </a:solidFill>
              </a:rPr>
              <a:t>Lucro X Gasto - Comparação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Controle!$C$4</c:f>
              <c:strCache>
                <c:ptCount val="1"/>
                <c:pt idx="0">
                  <c:v>Gasto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Controle!$B$5:$B$9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Controle!$C$5:$C$9</c:f>
              <c:numCache>
                <c:formatCode>_("R$"* #,##0.00_);_("R$"* \(#,##0.00\);_("R$"* "-"??_);_(@_)</c:formatCode>
                <c:ptCount val="5"/>
                <c:pt idx="0">
                  <c:v>16000</c:v>
                </c:pt>
                <c:pt idx="1">
                  <c:v>15961.41</c:v>
                </c:pt>
                <c:pt idx="2">
                  <c:v>24385.000000000004</c:v>
                </c:pt>
                <c:pt idx="3">
                  <c:v>13645.679999999997</c:v>
                </c:pt>
                <c:pt idx="4">
                  <c:v>2449.9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0-4859-AC02-CD75BF3D87DF}"/>
            </c:ext>
          </c:extLst>
        </c:ser>
        <c:ser>
          <c:idx val="1"/>
          <c:order val="1"/>
          <c:tx>
            <c:strRef>
              <c:f>Controle!$D$4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Controle!$B$5:$B$9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Controle!$D$5:$D$9</c:f>
              <c:numCache>
                <c:formatCode>_("R$"* #,##0.00_);_("R$"* \(#,##0.00\);_("R$"* "-"??_);_(@_)</c:formatCode>
                <c:ptCount val="5"/>
                <c:pt idx="0">
                  <c:v>10000</c:v>
                </c:pt>
                <c:pt idx="1">
                  <c:v>9705.48</c:v>
                </c:pt>
                <c:pt idx="2">
                  <c:v>4225.7299999999977</c:v>
                </c:pt>
                <c:pt idx="3">
                  <c:v>16965.900000000001</c:v>
                </c:pt>
                <c:pt idx="4">
                  <c:v>2550.1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00-4859-AC02-CD75BF3D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021007"/>
        <c:axId val="1130022927"/>
      </c:barChart>
      <c:catAx>
        <c:axId val="113002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0022927"/>
        <c:crosses val="autoZero"/>
        <c:auto val="1"/>
        <c:lblAlgn val="ctr"/>
        <c:lblOffset val="100"/>
        <c:noMultiLvlLbl val="0"/>
      </c:catAx>
      <c:valAx>
        <c:axId val="11300229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3002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28575" cap="rnd" cmpd="sng" algn="ctr">
      <a:solidFill>
        <a:schemeClr val="tx1"/>
      </a:solidFill>
      <a:prstDash val="sysDash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OTIDIANO!A1"/><Relationship Id="rId2" Type="http://schemas.openxmlformats.org/officeDocument/2006/relationships/hyperlink" Target="#'GPNP - 1&#176;S'!A1"/><Relationship Id="rId1" Type="http://schemas.openxmlformats.org/officeDocument/2006/relationships/chart" Target="../charts/chart1.xml"/><Relationship Id="rId4" Type="http://schemas.openxmlformats.org/officeDocument/2006/relationships/hyperlink" Target="#'GPNP - 2&#176;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GPNP - 2&#176;S'!A1"/><Relationship Id="rId2" Type="http://schemas.openxmlformats.org/officeDocument/2006/relationships/hyperlink" Target="#CONTROLE!A1"/><Relationship Id="rId1" Type="http://schemas.openxmlformats.org/officeDocument/2006/relationships/hyperlink" Target="#'GPNP - 1&#176;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GPNP - 2&#176;S'!A1"/><Relationship Id="rId2" Type="http://schemas.openxmlformats.org/officeDocument/2006/relationships/hyperlink" Target="#CONTROLE!A1"/><Relationship Id="rId1" Type="http://schemas.openxmlformats.org/officeDocument/2006/relationships/hyperlink" Target="#Cotidian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GPNP - 1&#176;S'!A1"/><Relationship Id="rId2" Type="http://schemas.openxmlformats.org/officeDocument/2006/relationships/hyperlink" Target="#CONTROLE!A1"/><Relationship Id="rId1" Type="http://schemas.openxmlformats.org/officeDocument/2006/relationships/hyperlink" Target="#Cotidian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2</xdr:row>
      <xdr:rowOff>171450</xdr:rowOff>
    </xdr:from>
    <xdr:to>
      <xdr:col>20</xdr:col>
      <xdr:colOff>171450</xdr:colOff>
      <xdr:row>32</xdr:row>
      <xdr:rowOff>104775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6EF3774-74B5-530F-2F0F-A9BC0179B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361950</xdr:colOff>
      <xdr:row>0</xdr:row>
      <xdr:rowOff>85725</xdr:rowOff>
    </xdr:from>
    <xdr:to>
      <xdr:col>16</xdr:col>
      <xdr:colOff>85725</xdr:colOff>
      <xdr:row>0</xdr:row>
      <xdr:rowOff>333375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B34EB1-FE8B-4213-87B3-3B774427D902}"/>
            </a:ext>
          </a:extLst>
        </xdr:cNvPr>
        <xdr:cNvSpPr/>
      </xdr:nvSpPr>
      <xdr:spPr>
        <a:xfrm>
          <a:off x="11277600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GPNP - 1°S</a:t>
          </a:r>
        </a:p>
      </xdr:txBody>
    </xdr:sp>
    <xdr:clientData/>
  </xdr:twoCellAnchor>
  <xdr:twoCellAnchor>
    <xdr:from>
      <xdr:col>12</xdr:col>
      <xdr:colOff>485775</xdr:colOff>
      <xdr:row>0</xdr:row>
      <xdr:rowOff>85725</xdr:rowOff>
    </xdr:from>
    <xdr:to>
      <xdr:col>14</xdr:col>
      <xdr:colOff>209550</xdr:colOff>
      <xdr:row>0</xdr:row>
      <xdr:rowOff>333375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50B8FA-4377-4261-99C8-12A9515AF86F}"/>
            </a:ext>
          </a:extLst>
        </xdr:cNvPr>
        <xdr:cNvSpPr/>
      </xdr:nvSpPr>
      <xdr:spPr>
        <a:xfrm>
          <a:off x="10182225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COTIDIANO</a:t>
          </a:r>
        </a:p>
      </xdr:txBody>
    </xdr:sp>
    <xdr:clientData/>
  </xdr:twoCellAnchor>
  <xdr:twoCellAnchor>
    <xdr:from>
      <xdr:col>16</xdr:col>
      <xdr:colOff>238125</xdr:colOff>
      <xdr:row>0</xdr:row>
      <xdr:rowOff>85725</xdr:rowOff>
    </xdr:from>
    <xdr:to>
      <xdr:col>17</xdr:col>
      <xdr:colOff>571500</xdr:colOff>
      <xdr:row>0</xdr:row>
      <xdr:rowOff>333375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9EF13D-BCAF-4A67-8D26-F9C03285DE8D}"/>
            </a:ext>
          </a:extLst>
        </xdr:cNvPr>
        <xdr:cNvSpPr/>
      </xdr:nvSpPr>
      <xdr:spPr>
        <a:xfrm>
          <a:off x="12372975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GPNP - 2°S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895350</xdr:colOff>
      <xdr:row>0</xdr:row>
      <xdr:rowOff>76201</xdr:rowOff>
    </xdr:from>
    <xdr:to>
      <xdr:col>13</xdr:col>
      <xdr:colOff>723900</xdr:colOff>
      <xdr:row>0</xdr:row>
      <xdr:rowOff>323851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8887E7-78B1-86CA-329D-6D61866D9054}"/>
            </a:ext>
          </a:extLst>
        </xdr:cNvPr>
        <xdr:cNvSpPr/>
      </xdr:nvSpPr>
      <xdr:spPr>
        <a:xfrm>
          <a:off x="11944350" y="76201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GPNP - 1°S</a:t>
          </a:r>
        </a:p>
      </xdr:txBody>
    </xdr:sp>
    <xdr:clientData/>
  </xdr:twoCellAnchor>
  <xdr:twoCellAnchor>
    <xdr:from>
      <xdr:col>11</xdr:col>
      <xdr:colOff>723900</xdr:colOff>
      <xdr:row>0</xdr:row>
      <xdr:rowOff>76201</xdr:rowOff>
    </xdr:from>
    <xdr:to>
      <xdr:col>12</xdr:col>
      <xdr:colOff>742950</xdr:colOff>
      <xdr:row>0</xdr:row>
      <xdr:rowOff>323851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334046-2C45-4539-B04A-FA5786D46368}"/>
            </a:ext>
          </a:extLst>
        </xdr:cNvPr>
        <xdr:cNvSpPr/>
      </xdr:nvSpPr>
      <xdr:spPr>
        <a:xfrm>
          <a:off x="10848975" y="76201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CONTROLE</a:t>
          </a:r>
        </a:p>
      </xdr:txBody>
    </xdr:sp>
    <xdr:clientData/>
  </xdr:twoCellAnchor>
  <xdr:twoCellAnchor>
    <xdr:from>
      <xdr:col>13</xdr:col>
      <xdr:colOff>876300</xdr:colOff>
      <xdr:row>0</xdr:row>
      <xdr:rowOff>76201</xdr:rowOff>
    </xdr:from>
    <xdr:to>
      <xdr:col>15</xdr:col>
      <xdr:colOff>285750</xdr:colOff>
      <xdr:row>0</xdr:row>
      <xdr:rowOff>323851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8DC9F2-367C-40C9-8170-6277ED697221}"/>
            </a:ext>
          </a:extLst>
        </xdr:cNvPr>
        <xdr:cNvSpPr/>
      </xdr:nvSpPr>
      <xdr:spPr>
        <a:xfrm>
          <a:off x="13039725" y="76201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GPNP - 2°S</a:t>
          </a:r>
          <a:endParaRPr lang="pt-BR">
            <a:effectLst/>
          </a:endParaRPr>
        </a:p>
      </xdr:txBody>
    </xdr:sp>
    <xdr:clientData/>
  </xdr:twoCellAnchor>
  <xdr:twoCellAnchor>
    <xdr:from>
      <xdr:col>3</xdr:col>
      <xdr:colOff>590550</xdr:colOff>
      <xdr:row>0</xdr:row>
      <xdr:rowOff>85726</xdr:rowOff>
    </xdr:from>
    <xdr:to>
      <xdr:col>4</xdr:col>
      <xdr:colOff>723900</xdr:colOff>
      <xdr:row>0</xdr:row>
      <xdr:rowOff>333376</xdr:rowOff>
    </xdr:to>
    <xdr:sp macro="[1]!Conta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571F75E2-6FA4-4755-8B00-6685A6DCFF8E}"/>
            </a:ext>
          </a:extLst>
        </xdr:cNvPr>
        <xdr:cNvSpPr/>
      </xdr:nvSpPr>
      <xdr:spPr>
        <a:xfrm>
          <a:off x="3324225" y="85726"/>
          <a:ext cx="10572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Inserir Conta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0</xdr:row>
      <xdr:rowOff>85725</xdr:rowOff>
    </xdr:from>
    <xdr:to>
      <xdr:col>19</xdr:col>
      <xdr:colOff>323850</xdr:colOff>
      <xdr:row>0</xdr:row>
      <xdr:rowOff>333375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5D3B1E-F49E-4909-90CB-6AAEF47E3013}"/>
            </a:ext>
          </a:extLst>
        </xdr:cNvPr>
        <xdr:cNvSpPr/>
      </xdr:nvSpPr>
      <xdr:spPr>
        <a:xfrm>
          <a:off x="12573000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COTIDIANO</a:t>
          </a:r>
        </a:p>
      </xdr:txBody>
    </xdr:sp>
    <xdr:clientData/>
  </xdr:twoCellAnchor>
  <xdr:twoCellAnchor>
    <xdr:from>
      <xdr:col>17</xdr:col>
      <xdr:colOff>85725</xdr:colOff>
      <xdr:row>0</xdr:row>
      <xdr:rowOff>85725</xdr:rowOff>
    </xdr:from>
    <xdr:to>
      <xdr:col>17</xdr:col>
      <xdr:colOff>1028700</xdr:colOff>
      <xdr:row>0</xdr:row>
      <xdr:rowOff>333375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ECE027-F872-4A89-9E38-0264880E488A}"/>
            </a:ext>
          </a:extLst>
        </xdr:cNvPr>
        <xdr:cNvSpPr/>
      </xdr:nvSpPr>
      <xdr:spPr>
        <a:xfrm>
          <a:off x="11458575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CONTROLE</a:t>
          </a:r>
        </a:p>
      </xdr:txBody>
    </xdr:sp>
    <xdr:clientData/>
  </xdr:twoCellAnchor>
  <xdr:twoCellAnchor>
    <xdr:from>
      <xdr:col>19</xdr:col>
      <xdr:colOff>476250</xdr:colOff>
      <xdr:row>0</xdr:row>
      <xdr:rowOff>85725</xdr:rowOff>
    </xdr:from>
    <xdr:to>
      <xdr:col>21</xdr:col>
      <xdr:colOff>457200</xdr:colOff>
      <xdr:row>0</xdr:row>
      <xdr:rowOff>333375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78A0B0-BD63-4467-9367-E81FBB2140D7}"/>
            </a:ext>
          </a:extLst>
        </xdr:cNvPr>
        <xdr:cNvSpPr/>
      </xdr:nvSpPr>
      <xdr:spPr>
        <a:xfrm>
          <a:off x="13668375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GPNP - 2°S</a:t>
          </a:r>
          <a:endParaRPr lang="pt-BR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0</xdr:row>
      <xdr:rowOff>85725</xdr:rowOff>
    </xdr:from>
    <xdr:to>
      <xdr:col>19</xdr:col>
      <xdr:colOff>323850</xdr:colOff>
      <xdr:row>0</xdr:row>
      <xdr:rowOff>333375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E33008-9A35-4674-8726-CC0E882C3F2E}"/>
            </a:ext>
          </a:extLst>
        </xdr:cNvPr>
        <xdr:cNvSpPr/>
      </xdr:nvSpPr>
      <xdr:spPr>
        <a:xfrm>
          <a:off x="12049125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COTIDIANO</a:t>
          </a:r>
        </a:p>
      </xdr:txBody>
    </xdr:sp>
    <xdr:clientData/>
  </xdr:twoCellAnchor>
  <xdr:twoCellAnchor>
    <xdr:from>
      <xdr:col>17</xdr:col>
      <xdr:colOff>85725</xdr:colOff>
      <xdr:row>0</xdr:row>
      <xdr:rowOff>85725</xdr:rowOff>
    </xdr:from>
    <xdr:to>
      <xdr:col>17</xdr:col>
      <xdr:colOff>1028700</xdr:colOff>
      <xdr:row>0</xdr:row>
      <xdr:rowOff>333375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B2BF3C-C5D0-498D-8F01-FFBD33557C01}"/>
            </a:ext>
          </a:extLst>
        </xdr:cNvPr>
        <xdr:cNvSpPr/>
      </xdr:nvSpPr>
      <xdr:spPr>
        <a:xfrm>
          <a:off x="11458575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CONTROLE</a:t>
          </a:r>
        </a:p>
      </xdr:txBody>
    </xdr:sp>
    <xdr:clientData/>
  </xdr:twoCellAnchor>
  <xdr:twoCellAnchor>
    <xdr:from>
      <xdr:col>19</xdr:col>
      <xdr:colOff>476250</xdr:colOff>
      <xdr:row>0</xdr:row>
      <xdr:rowOff>85725</xdr:rowOff>
    </xdr:from>
    <xdr:to>
      <xdr:col>21</xdr:col>
      <xdr:colOff>457200</xdr:colOff>
      <xdr:row>0</xdr:row>
      <xdr:rowOff>333375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5E9E23-405E-44BA-BBE9-8084F014E605}"/>
            </a:ext>
          </a:extLst>
        </xdr:cNvPr>
        <xdr:cNvSpPr/>
      </xdr:nvSpPr>
      <xdr:spPr>
        <a:xfrm>
          <a:off x="13144500" y="85725"/>
          <a:ext cx="942975" cy="24765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GPNP - 1°S</a:t>
          </a:r>
          <a:endParaRPr lang="pt-BR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definedNames>
      <definedName name="Conta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9EBB72-66D1-4A82-8E6C-0209288CE3BE}" name="Tabela4" displayName="Tabela4" ref="B4:D9" totalsRowShown="0" headerRowDxfId="61">
  <autoFilter ref="B4:D9" xr:uid="{959EBB72-66D1-4A82-8E6C-0209288CE3BE}"/>
  <tableColumns count="3">
    <tableColumn id="1" xr3:uid="{7DEEC644-7850-4F40-8F6E-59B6ED8123DA}" name="Ano" dataDxfId="60"/>
    <tableColumn id="2" xr3:uid="{FDC97AA7-BF79-4310-92CE-14A541A3418D}" name="Gasto" dataDxfId="59">
      <calculatedColumnFormula>Cotidiano!R14</calculatedColumnFormula>
    </tableColumn>
    <tableColumn id="3" xr3:uid="{070F3832-D1A2-467E-8820-0BB2C58904A8}" name="Lucro" dataDxfId="58">
      <calculatedColumnFormula>Cotidiano!R13</calculatedColumnFormula>
    </tableColumn>
  </tableColumns>
  <tableStyleInfo name="TableStyleLight16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FAF06-F104-4D06-8782-A7274EE533F5}" name="Tabela1" displayName="Tabela1" ref="B3:N14" totalsRowShown="0" headerRowDxfId="57" dataDxfId="55" headerRowBorderDxfId="56" tableBorderDxfId="54">
  <autoFilter ref="B3:N14" xr:uid="{66BFAF06-F104-4D06-8782-A7274EE533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AE52231-E747-4720-94E0-8D9165FCB512}" name="Itens" dataDxfId="53"/>
    <tableColumn id="2" xr3:uid="{6B9481AF-D537-4E98-9E3F-B3461F14905C}" name="Janeiro" dataDxfId="52"/>
    <tableColumn id="3" xr3:uid="{15971722-648C-4EE2-9992-A5091358184C}" name="Fevereiro" dataDxfId="51"/>
    <tableColumn id="4" xr3:uid="{C3399C46-F399-471D-9523-C0469FC00EDB}" name="Março" dataDxfId="50"/>
    <tableColumn id="5" xr3:uid="{11E35400-42C9-4AA5-90BB-0F6998E1D0E4}" name="Abril" dataDxfId="49"/>
    <tableColumn id="6" xr3:uid="{E0C56F56-BC24-448D-80BD-175060AA2942}" name="Maio" dataDxfId="48"/>
    <tableColumn id="7" xr3:uid="{F81E2DCA-2CA9-4A5E-AB31-D4FB81FD0DD2}" name="Junho" dataDxfId="47"/>
    <tableColumn id="8" xr3:uid="{7DA7BBB7-B01D-4EC2-A8E9-8D70793CB5A3}" name="Julho" dataDxfId="46"/>
    <tableColumn id="9" xr3:uid="{3BC78B2D-C82D-495D-9CD6-467FA1DF2D1F}" name="Agosto" dataDxfId="45"/>
    <tableColumn id="10" xr3:uid="{ADB6F856-C044-4B2B-BDA1-90B0E9401007}" name="Setembro" dataDxfId="44"/>
    <tableColumn id="11" xr3:uid="{A0C604B8-8547-4075-8E3D-4060742C74BD}" name="Outubro" dataDxfId="43"/>
    <tableColumn id="12" xr3:uid="{05AFC1BE-6270-4853-AF39-30AE4D6290DE}" name="Novembro" dataDxfId="42"/>
    <tableColumn id="13" xr3:uid="{C2DDBE51-60DC-48B5-AA0A-43EF33FE560A}" name="Dezembro" dataDxfId="41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A1E14E-F98A-4870-B08D-A0B7A4211BD4}" name="Tabela11" displayName="Tabela11" ref="B4:D32" totalsRowShown="0" headerRowDxfId="40">
  <autoFilter ref="B4:D32" xr:uid="{5FA1E14E-F98A-4870-B08D-A0B7A4211BD4}"/>
  <tableColumns count="3">
    <tableColumn id="1" xr3:uid="{3B1B4062-76C2-4E96-8C5C-111CC022572E}" name="Produto" dataDxfId="39"/>
    <tableColumn id="2" xr3:uid="{282415D6-B9CD-42F7-90E1-B5365689F67D}" name="Data " dataDxfId="38"/>
    <tableColumn id="3" xr3:uid="{C5C25298-2CE4-43D2-9A5C-3C5FFC272D48}" name="Valor" dataDxfId="37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01D3A7-5332-4DAC-B397-4D11A003F56D}" name="Tabela12" displayName="Tabela12" ref="F4:H32" totalsRowShown="0">
  <autoFilter ref="F4:H32" xr:uid="{8301D3A7-5332-4DAC-B397-4D11A003F56D}"/>
  <tableColumns count="3">
    <tableColumn id="1" xr3:uid="{6FB67F5C-BD38-40D1-B953-5ED0A2ECB1CB}" name="Produto" dataDxfId="36"/>
    <tableColumn id="2" xr3:uid="{AD2F0DAB-1654-4B46-A6C9-2EB8E231ABA6}" name="Data " dataDxfId="35"/>
    <tableColumn id="3" xr3:uid="{3C03C0AD-C63C-4762-9EE9-9AA0CBC0355E}" name="Valor" dataDxfId="34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9F20840-F82B-4893-9BAF-37A46D21A101}" name="Tabela13" displayName="Tabela13" ref="J4:L32" totalsRowShown="0">
  <autoFilter ref="J4:L32" xr:uid="{09F20840-F82B-4893-9BAF-37A46D21A101}"/>
  <tableColumns count="3">
    <tableColumn id="1" xr3:uid="{4021AE2D-8583-436A-AD87-384B840AB040}" name="Produto" dataDxfId="33"/>
    <tableColumn id="2" xr3:uid="{4A3E4F5B-4E76-46A7-B8EE-049803864109}" name="Data " dataDxfId="32"/>
    <tableColumn id="3" xr3:uid="{B2DE275E-CB85-467A-B7E9-D9C9AF8D577F}" name="Valor" dataDxfId="31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B2D19B-4775-427A-AD34-13946DB0A2AC}" name="Tabela14" displayName="Tabela14" ref="N4:P32" totalsRowShown="0">
  <autoFilter ref="N4:P32" xr:uid="{99B2D19B-4775-427A-AD34-13946DB0A2AC}"/>
  <tableColumns count="3">
    <tableColumn id="1" xr3:uid="{8497B1FE-06CA-4909-8673-68B8A471AB0E}" name="Produto" dataDxfId="30"/>
    <tableColumn id="2" xr3:uid="{E183BE98-943C-4999-AEC4-AFAA4B9AB4A4}" name="Data " dataDxfId="29"/>
    <tableColumn id="3" xr3:uid="{4AC3608B-9246-43F7-A5A9-8BD58871E5F6}" name="Valor" dataDxfId="28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BBE46B9-2EB3-414B-BD32-B9D9CC3EAB7C}" name="Tabela15" displayName="Tabela15" ref="R4:T32" totalsRowShown="0">
  <autoFilter ref="R4:T32" xr:uid="{5BBE46B9-2EB3-414B-BD32-B9D9CC3EAB7C}"/>
  <tableColumns count="3">
    <tableColumn id="1" xr3:uid="{43B1EF54-4C6D-4B19-8868-4C39E78BECAC}" name="Produto" dataDxfId="27"/>
    <tableColumn id="2" xr3:uid="{7222525F-F76F-4A1D-9946-6149D13F0390}" name="Data " dataDxfId="26"/>
    <tableColumn id="3" xr3:uid="{FB5879E6-08F2-4C5D-9810-2264F1ADF626}" name="Valor" dataDxfId="25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0D1F00D-5F36-49B9-915D-26A82A8C43A0}" name="Tabela16" displayName="Tabela16" ref="V4:X32" totalsRowShown="0">
  <autoFilter ref="V4:X32" xr:uid="{C0D1F00D-5F36-49B9-915D-26A82A8C43A0}"/>
  <tableColumns count="3">
    <tableColumn id="1" xr3:uid="{D93870BC-1124-405D-92EE-C8E7F79356F3}" name="Produto" dataDxfId="24"/>
    <tableColumn id="2" xr3:uid="{F24257BE-DA21-4937-82A7-77D75133B5CB}" name="Data " dataDxfId="23"/>
    <tableColumn id="3" xr3:uid="{E15FA3E3-FC9E-4CA6-8413-A3E9D4BA876C}" name="Valor" dataDxfId="22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4370BD-6384-48E4-9393-732D7CE42B17}" name="Tabela5" displayName="Tabela5" ref="B4:D32" totalsRowShown="0" headerRowDxfId="21">
  <autoFilter ref="B4:D32" xr:uid="{564370BD-6384-48E4-9393-732D7CE42B17}"/>
  <tableColumns count="3">
    <tableColumn id="1" xr3:uid="{070B066A-B67A-4D6D-93A7-D18B570BE1BA}" name="Produto" dataDxfId="20"/>
    <tableColumn id="2" xr3:uid="{F73C5DFE-D3D5-422B-80A3-06D233CBF9CE}" name="Data " dataDxfId="19"/>
    <tableColumn id="3" xr3:uid="{D51264F0-DFBB-4FA5-99AD-208DED15B1D9}" name="Valor" dataDxfId="18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26B3BB-342D-4C4C-8624-62EEA3F4F620}" name="Tabela6" displayName="Tabela6" ref="F4:H32" totalsRowShown="0">
  <autoFilter ref="F4:H32" xr:uid="{8D26B3BB-342D-4C4C-8624-62EEA3F4F620}"/>
  <tableColumns count="3">
    <tableColumn id="1" xr3:uid="{76F174F7-BBEA-4B1D-A27F-B9D1247B4B4A}" name="Produto" dataDxfId="17"/>
    <tableColumn id="2" xr3:uid="{ECE40676-A57C-40CF-AA7B-6FCB49B0E32B}" name="Data " dataDxfId="16"/>
    <tableColumn id="3" xr3:uid="{D3384F57-4872-4996-8C69-99DF66C547DF}" name="Valor" dataDxfId="15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EFAB4D-D3A4-4FBC-944A-7AFC3B03C2D5}" name="Tabela7" displayName="Tabela7" ref="J4:L32" totalsRowShown="0">
  <autoFilter ref="J4:L32" xr:uid="{B6EFAB4D-D3A4-4FBC-944A-7AFC3B03C2D5}"/>
  <tableColumns count="3">
    <tableColumn id="1" xr3:uid="{D3BCA950-080D-4774-A607-E31D8A157B13}" name="Produto" dataDxfId="14"/>
    <tableColumn id="2" xr3:uid="{F7F4F72C-593B-43A8-9A93-B62D2816F431}" name="Data " dataDxfId="13"/>
    <tableColumn id="3" xr3:uid="{CCD43513-C639-438D-A137-1773938C83E8}" name="Valor" dataDxfId="12"/>
  </tableColumns>
  <tableStyleInfo name="TableStyleLight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5986CE-3FC8-4FB0-9428-66D70BEC81DB}" name="Tabela8" displayName="Tabela8" ref="N4:P32" totalsRowShown="0">
  <autoFilter ref="N4:P32" xr:uid="{1A5986CE-3FC8-4FB0-9428-66D70BEC81DB}"/>
  <tableColumns count="3">
    <tableColumn id="1" xr3:uid="{BF79B987-AE2D-441E-90F3-678E68B11EC6}" name="Produto" dataDxfId="11"/>
    <tableColumn id="2" xr3:uid="{0ED18F27-071C-4173-980D-443FA2F9378E}" name="Data " dataDxfId="10"/>
    <tableColumn id="3" xr3:uid="{6DD8EF60-5018-45EE-98BC-EB4B42F0DC47}" name="Valor" dataDxfId="9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427BCA-D3B6-4180-9696-A13117848086}" name="Tabela9" displayName="Tabela9" ref="R4:T32" totalsRowShown="0">
  <autoFilter ref="R4:T32" xr:uid="{FA427BCA-D3B6-4180-9696-A13117848086}"/>
  <tableColumns count="3">
    <tableColumn id="1" xr3:uid="{3C48B5E4-620D-4CBD-9890-84F3B9F45F4D}" name="Produto" dataDxfId="8"/>
    <tableColumn id="2" xr3:uid="{AB0BB637-49BE-4348-842F-E2BD9AC45539}" name="Data " dataDxfId="7"/>
    <tableColumn id="3" xr3:uid="{9B9DE855-2D3D-4E82-9098-BBD0898D513F}" name="Valor" dataDxfId="6"/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30A74D-CE67-4CEF-9CBB-93D66F681CAB}" name="Tabela10" displayName="Tabela10" ref="V4:X32" totalsRowShown="0">
  <autoFilter ref="V4:X32" xr:uid="{8A30A74D-CE67-4CEF-9CBB-93D66F681CAB}"/>
  <tableColumns count="3">
    <tableColumn id="1" xr3:uid="{1FA92E26-3BB9-4C47-B697-69CB922F8D0F}" name="Produto" dataDxfId="5"/>
    <tableColumn id="2" xr3:uid="{C42C1B89-8B8F-4000-8F6A-8D5FC17F6C46}" name="Data " dataDxfId="4"/>
    <tableColumn id="3" xr3:uid="{9156F257-0829-4314-A800-99549A231495}" name="Valor" dataDxfId="3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5EF5-2B20-4F39-9BEC-608FDB06E347}">
  <sheetPr>
    <tabColor theme="9" tint="0.79998168889431442"/>
  </sheetPr>
  <dimension ref="A1:H26"/>
  <sheetViews>
    <sheetView showGridLines="0" tabSelected="1" zoomScaleNormal="100" workbookViewId="0"/>
  </sheetViews>
  <sheetFormatPr defaultRowHeight="15" x14ac:dyDescent="0.25"/>
  <cols>
    <col min="1" max="1" width="3.7109375" style="4" customWidth="1"/>
    <col min="2" max="3" width="17.28515625" style="4" customWidth="1"/>
    <col min="4" max="4" width="13.42578125" style="12" bestFit="1" customWidth="1"/>
    <col min="5" max="5" width="11.7109375" style="4" customWidth="1"/>
    <col min="6" max="6" width="16.85546875" style="4" customWidth="1"/>
    <col min="7" max="7" width="15.28515625" style="4" customWidth="1"/>
    <col min="8" max="8" width="13.28515625" style="13" bestFit="1" customWidth="1"/>
    <col min="9" max="16384" width="9.140625" style="4"/>
  </cols>
  <sheetData>
    <row r="1" spans="1:8" s="18" customFormat="1" ht="30.75" customHeight="1" x14ac:dyDescent="0.25">
      <c r="B1" s="39" t="s">
        <v>40</v>
      </c>
      <c r="C1" s="39"/>
      <c r="D1" s="30"/>
    </row>
    <row r="3" spans="1:8" x14ac:dyDescent="0.25">
      <c r="A3"/>
      <c r="B3"/>
      <c r="C3"/>
      <c r="D3" s="4"/>
      <c r="H3" s="4"/>
    </row>
    <row r="4" spans="1:8" x14ac:dyDescent="0.25">
      <c r="A4"/>
      <c r="B4" s="6" t="s">
        <v>35</v>
      </c>
      <c r="C4" s="6" t="s">
        <v>36</v>
      </c>
      <c r="D4" s="6" t="s">
        <v>37</v>
      </c>
    </row>
    <row r="5" spans="1:8" x14ac:dyDescent="0.25">
      <c r="A5"/>
      <c r="B5" s="6">
        <v>2022</v>
      </c>
      <c r="C5" s="7">
        <v>16000</v>
      </c>
      <c r="D5" s="7">
        <v>10000</v>
      </c>
      <c r="H5" s="4"/>
    </row>
    <row r="6" spans="1:8" x14ac:dyDescent="0.25">
      <c r="A6"/>
      <c r="B6" s="6">
        <v>2023</v>
      </c>
      <c r="C6" s="10">
        <v>15961.41</v>
      </c>
      <c r="D6" s="10">
        <v>9705.48</v>
      </c>
      <c r="H6" s="4"/>
    </row>
    <row r="7" spans="1:8" x14ac:dyDescent="0.25">
      <c r="A7"/>
      <c r="B7" s="6">
        <v>2024</v>
      </c>
      <c r="C7" s="10">
        <v>24385.000000000004</v>
      </c>
      <c r="D7" s="10">
        <v>4225.7299999999977</v>
      </c>
      <c r="H7" s="4"/>
    </row>
    <row r="8" spans="1:8" x14ac:dyDescent="0.25">
      <c r="A8"/>
      <c r="B8" s="6">
        <v>2025</v>
      </c>
      <c r="C8" s="10">
        <v>13645.679999999997</v>
      </c>
      <c r="D8" s="10">
        <v>16965.900000000001</v>
      </c>
      <c r="H8" s="4"/>
    </row>
    <row r="9" spans="1:8" x14ac:dyDescent="0.25">
      <c r="A9"/>
      <c r="B9" s="6">
        <v>2026</v>
      </c>
      <c r="C9" s="10">
        <f>Cotidiano!Q8</f>
        <v>2449.9</v>
      </c>
      <c r="D9" s="10">
        <f>Cotidiano!Q7</f>
        <v>2550.1</v>
      </c>
      <c r="H9" s="4"/>
    </row>
    <row r="10" spans="1:8" x14ac:dyDescent="0.25">
      <c r="A10"/>
      <c r="H10" s="4"/>
    </row>
    <row r="11" spans="1:8" x14ac:dyDescent="0.25">
      <c r="A11"/>
      <c r="H11" s="4"/>
    </row>
    <row r="12" spans="1:8" x14ac:dyDescent="0.25">
      <c r="A12"/>
      <c r="H12" s="4"/>
    </row>
    <row r="13" spans="1:8" x14ac:dyDescent="0.25">
      <c r="A13"/>
      <c r="H13" s="4"/>
    </row>
    <row r="14" spans="1:8" x14ac:dyDescent="0.25">
      <c r="A14"/>
      <c r="B14"/>
      <c r="C14"/>
      <c r="D14" s="4"/>
      <c r="E14" s="25"/>
      <c r="F14" s="25"/>
      <c r="G14" s="25"/>
      <c r="H14" s="4"/>
    </row>
    <row r="15" spans="1:8" x14ac:dyDescent="0.25">
      <c r="A15"/>
      <c r="B15"/>
      <c r="C15"/>
      <c r="E15" s="25"/>
      <c r="F15" s="25"/>
      <c r="G15" s="25"/>
    </row>
    <row r="16" spans="1:8" x14ac:dyDescent="0.25">
      <c r="A16"/>
      <c r="B16"/>
      <c r="C16"/>
    </row>
    <row r="17" spans="1:7" ht="15" customHeight="1" x14ac:dyDescent="0.25">
      <c r="A17"/>
      <c r="B17"/>
      <c r="C17"/>
      <c r="E17" s="25"/>
      <c r="F17" s="25"/>
      <c r="G17" s="25"/>
    </row>
    <row r="18" spans="1:7" x14ac:dyDescent="0.25">
      <c r="A18"/>
      <c r="B18"/>
      <c r="C18"/>
      <c r="D18" s="25"/>
      <c r="E18" s="25"/>
      <c r="F18" s="25"/>
      <c r="G18" s="25"/>
    </row>
    <row r="19" spans="1:7" x14ac:dyDescent="0.25">
      <c r="A19"/>
      <c r="B19"/>
      <c r="C19"/>
      <c r="D19" s="25"/>
    </row>
    <row r="20" spans="1:7" x14ac:dyDescent="0.25">
      <c r="A20"/>
      <c r="B20"/>
      <c r="C20"/>
    </row>
    <row r="21" spans="1:7" x14ac:dyDescent="0.25">
      <c r="A21"/>
      <c r="B21"/>
      <c r="C21"/>
      <c r="D21" s="25"/>
    </row>
    <row r="22" spans="1:7" x14ac:dyDescent="0.25">
      <c r="A22"/>
      <c r="B22"/>
      <c r="C22"/>
      <c r="D22" s="25"/>
    </row>
    <row r="23" spans="1:7" x14ac:dyDescent="0.25">
      <c r="A23"/>
      <c r="B23"/>
      <c r="C23"/>
    </row>
    <row r="24" spans="1:7" x14ac:dyDescent="0.25">
      <c r="A24"/>
      <c r="B24"/>
      <c r="C24"/>
    </row>
    <row r="26" spans="1:7" x14ac:dyDescent="0.25">
      <c r="E26" s="9"/>
    </row>
  </sheetData>
  <mergeCells count="1">
    <mergeCell ref="B1:C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6:D8 C5:D5 C9:D9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9AB8-39D4-440D-8C3E-E5C2BDF8C9AC}">
  <sheetPr>
    <tabColor theme="4" tint="0.79998168889431442"/>
  </sheetPr>
  <dimension ref="B1:S32"/>
  <sheetViews>
    <sheetView showGridLines="0" zoomScaleNormal="100" workbookViewId="0"/>
  </sheetViews>
  <sheetFormatPr defaultRowHeight="15" x14ac:dyDescent="0.25"/>
  <cols>
    <col min="1" max="1" width="3.7109375" style="4" customWidth="1"/>
    <col min="2" max="2" width="23.42578125" style="6" customWidth="1"/>
    <col min="3" max="12" width="13.85546875" style="4" customWidth="1"/>
    <col min="13" max="13" width="16.7109375" style="4" customWidth="1"/>
    <col min="14" max="14" width="13.85546875" style="4" customWidth="1"/>
    <col min="15" max="15" width="9.140625" style="4"/>
    <col min="16" max="16" width="15.7109375" style="4" customWidth="1"/>
    <col min="17" max="18" width="18.140625" style="4" customWidth="1"/>
    <col min="19" max="16384" width="9.140625" style="4"/>
  </cols>
  <sheetData>
    <row r="1" spans="2:19" s="18" customFormat="1" ht="30.75" customHeight="1" x14ac:dyDescent="0.25">
      <c r="B1" s="39" t="s">
        <v>41</v>
      </c>
      <c r="C1" s="39"/>
      <c r="D1" s="39"/>
    </row>
    <row r="3" spans="2:19" ht="15.75" thickBot="1" x14ac:dyDescent="0.3">
      <c r="B3" s="1" t="s">
        <v>33</v>
      </c>
      <c r="C3" s="2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</row>
    <row r="4" spans="2:19" ht="15.75" thickBot="1" x14ac:dyDescent="0.3">
      <c r="B4" s="16" t="s">
        <v>34</v>
      </c>
      <c r="C4" s="17">
        <v>5000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/>
      <c r="Q4"/>
      <c r="R4"/>
    </row>
    <row r="5" spans="2:19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P5"/>
      <c r="Q5"/>
      <c r="R5"/>
      <c r="S5"/>
    </row>
    <row r="6" spans="2:19" ht="15.75" thickBot="1" x14ac:dyDescent="0.3">
      <c r="B6" s="4" t="s">
        <v>45</v>
      </c>
      <c r="C6" s="5">
        <v>700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P6"/>
      <c r="Q6"/>
      <c r="R6"/>
      <c r="S6"/>
    </row>
    <row r="7" spans="2:19" x14ac:dyDescent="0.25">
      <c r="B7" s="4" t="s">
        <v>12</v>
      </c>
      <c r="C7" s="5">
        <v>225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P7" s="36" t="s">
        <v>51</v>
      </c>
      <c r="Q7" s="34">
        <f>SUM(C18:N18)</f>
        <v>2550.1</v>
      </c>
      <c r="R7"/>
      <c r="S7"/>
    </row>
    <row r="8" spans="2:19" ht="15.75" thickBot="1" x14ac:dyDescent="0.3">
      <c r="B8" s="4" t="s">
        <v>13</v>
      </c>
      <c r="C8" s="5">
        <v>55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P8" s="37" t="s">
        <v>52</v>
      </c>
      <c r="Q8" s="35">
        <f>SUM(C17:N17)</f>
        <v>2449.9</v>
      </c>
      <c r="R8"/>
      <c r="S8"/>
    </row>
    <row r="9" spans="2:19" ht="15.75" thickBot="1" x14ac:dyDescent="0.3">
      <c r="B9" s="4" t="s">
        <v>46</v>
      </c>
      <c r="C9" s="5">
        <v>60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P9" s="33"/>
      <c r="Q9" s="31"/>
      <c r="R9"/>
      <c r="S9"/>
    </row>
    <row r="10" spans="2:19" ht="15.75" thickBot="1" x14ac:dyDescent="0.3">
      <c r="B10" s="4" t="s">
        <v>47</v>
      </c>
      <c r="C10" s="5">
        <v>40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P10" s="38" t="s">
        <v>50</v>
      </c>
      <c r="Q10" s="32">
        <f>Q7-Q8</f>
        <v>100.19999999999982</v>
      </c>
      <c r="R10"/>
      <c r="S10"/>
    </row>
    <row r="11" spans="2:19" x14ac:dyDescent="0.25">
      <c r="B11" s="4" t="s">
        <v>14</v>
      </c>
      <c r="C11" s="5">
        <v>29.9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P11"/>
      <c r="Q11"/>
      <c r="R11"/>
      <c r="S11"/>
    </row>
    <row r="12" spans="2:19" x14ac:dyDescent="0.25">
      <c r="B12" s="4" t="s">
        <v>48</v>
      </c>
      <c r="C12" s="5">
        <v>900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P12"/>
      <c r="Q12"/>
      <c r="R12"/>
      <c r="S12"/>
    </row>
    <row r="13" spans="2:19" x14ac:dyDescent="0.25">
      <c r="B13" s="4" t="s">
        <v>32</v>
      </c>
      <c r="C13" s="5">
        <f>SUM(Tabela11[Valor])</f>
        <v>375</v>
      </c>
      <c r="D13" s="5">
        <f>SUM(Tabela12[Valor])</f>
        <v>0</v>
      </c>
      <c r="E13" s="5">
        <f>SUM(Tabela13[Valor])</f>
        <v>0</v>
      </c>
      <c r="F13" s="5">
        <f>SUM(Tabela14[Valor])</f>
        <v>0</v>
      </c>
      <c r="G13" s="5">
        <f>SUM(Tabela15[Valor])</f>
        <v>0</v>
      </c>
      <c r="H13" s="5">
        <f>SUM(Tabela16[Valor])</f>
        <v>0</v>
      </c>
      <c r="I13" s="5">
        <f>SUM(Tabela5[Valor])</f>
        <v>0</v>
      </c>
      <c r="J13" s="5">
        <f>SUM(Tabela6[Valor])</f>
        <v>0</v>
      </c>
      <c r="K13" s="5">
        <f>SUM(Tabela7[Valor])</f>
        <v>0</v>
      </c>
      <c r="L13" s="5">
        <f>SUM(Tabela8[Valor])</f>
        <v>0</v>
      </c>
      <c r="M13" s="5">
        <f>SUM(Tabela9[Valor])</f>
        <v>0</v>
      </c>
      <c r="N13" s="5">
        <f>SUM(Tabela10[Valor])</f>
        <v>0</v>
      </c>
      <c r="P13"/>
      <c r="Q13"/>
      <c r="R13"/>
      <c r="S13"/>
    </row>
    <row r="14" spans="2:19" x14ac:dyDescent="0.25">
      <c r="B14" s="4" t="s">
        <v>49</v>
      </c>
      <c r="C14" s="5">
        <v>65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P14"/>
      <c r="Q14"/>
      <c r="R14"/>
      <c r="S14"/>
    </row>
    <row r="15" spans="2:19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P15"/>
      <c r="Q15"/>
      <c r="R15"/>
      <c r="S15"/>
    </row>
    <row r="16" spans="2:19" x14ac:dyDescent="0.25">
      <c r="P16"/>
      <c r="Q16"/>
      <c r="R16"/>
      <c r="S16"/>
    </row>
    <row r="17" spans="2:19" ht="15.75" thickBot="1" x14ac:dyDescent="0.3">
      <c r="B17" s="19" t="s">
        <v>15</v>
      </c>
      <c r="C17" s="20">
        <f t="shared" ref="C17:N17" si="0">SUM(C5:C14)</f>
        <v>2449.9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  <c r="I17" s="20">
        <f t="shared" si="0"/>
        <v>0</v>
      </c>
      <c r="J17" s="20">
        <f t="shared" si="0"/>
        <v>0</v>
      </c>
      <c r="K17" s="20">
        <f t="shared" si="0"/>
        <v>0</v>
      </c>
      <c r="L17" s="20">
        <f t="shared" si="0"/>
        <v>0</v>
      </c>
      <c r="M17" s="20">
        <f t="shared" si="0"/>
        <v>0</v>
      </c>
      <c r="N17" s="21">
        <f t="shared" si="0"/>
        <v>0</v>
      </c>
      <c r="P17"/>
      <c r="Q17"/>
      <c r="R17"/>
      <c r="S17"/>
    </row>
    <row r="18" spans="2:19" x14ac:dyDescent="0.25">
      <c r="B18" s="22" t="s">
        <v>16</v>
      </c>
      <c r="C18" s="23">
        <f t="shared" ref="C18:N18" si="1">(C4-C17)</f>
        <v>2550.1</v>
      </c>
      <c r="D18" s="23">
        <f t="shared" si="1"/>
        <v>0</v>
      </c>
      <c r="E18" s="23">
        <f t="shared" si="1"/>
        <v>0</v>
      </c>
      <c r="F18" s="23">
        <f t="shared" si="1"/>
        <v>0</v>
      </c>
      <c r="G18" s="23">
        <f t="shared" si="1"/>
        <v>0</v>
      </c>
      <c r="H18" s="23">
        <f t="shared" si="1"/>
        <v>0</v>
      </c>
      <c r="I18" s="23">
        <f t="shared" si="1"/>
        <v>0</v>
      </c>
      <c r="J18" s="23">
        <f t="shared" si="1"/>
        <v>0</v>
      </c>
      <c r="K18" s="23">
        <f t="shared" si="1"/>
        <v>0</v>
      </c>
      <c r="L18" s="23">
        <f t="shared" si="1"/>
        <v>0</v>
      </c>
      <c r="M18" s="23">
        <f t="shared" si="1"/>
        <v>0</v>
      </c>
      <c r="N18" s="24">
        <f t="shared" si="1"/>
        <v>0</v>
      </c>
      <c r="P18"/>
      <c r="Q18"/>
      <c r="R18"/>
      <c r="S18"/>
    </row>
    <row r="19" spans="2:19" x14ac:dyDescent="0.25">
      <c r="P19"/>
      <c r="Q19"/>
      <c r="R19"/>
      <c r="S19"/>
    </row>
    <row r="20" spans="2:19" x14ac:dyDescent="0.25">
      <c r="P20"/>
      <c r="Q20"/>
      <c r="R20"/>
      <c r="S20"/>
    </row>
    <row r="21" spans="2:19" ht="21.75" customHeight="1" x14ac:dyDescent="0.25">
      <c r="E21" s="8"/>
      <c r="F21" s="8"/>
      <c r="G21" s="8"/>
      <c r="H21" s="8"/>
      <c r="I21" s="8"/>
      <c r="J21" s="8"/>
      <c r="K21" s="9"/>
      <c r="L21" s="8"/>
      <c r="M21" s="8"/>
      <c r="N21" s="8"/>
      <c r="P21"/>
      <c r="Q21"/>
      <c r="R21"/>
      <c r="S21"/>
    </row>
    <row r="22" spans="2:19" ht="18" customHeight="1" x14ac:dyDescent="0.25">
      <c r="E22" s="8"/>
      <c r="F22" s="8"/>
      <c r="H22" s="8"/>
      <c r="I22" s="8"/>
      <c r="J22" s="8"/>
      <c r="K22" s="8"/>
      <c r="L22" s="8"/>
      <c r="M22" s="8"/>
      <c r="P22"/>
      <c r="Q22"/>
      <c r="R22"/>
      <c r="S22"/>
    </row>
    <row r="23" spans="2:19" x14ac:dyDescent="0.25">
      <c r="F23" s="8"/>
      <c r="G23" s="8"/>
      <c r="H23" s="8"/>
      <c r="I23" s="8"/>
      <c r="J23" s="8"/>
      <c r="K23" s="8"/>
      <c r="L23" s="8"/>
      <c r="M23" s="8"/>
      <c r="P23"/>
      <c r="Q23"/>
      <c r="R23"/>
      <c r="S23"/>
    </row>
    <row r="24" spans="2:19" x14ac:dyDescent="0.25">
      <c r="E24" s="8"/>
      <c r="F24" s="8"/>
      <c r="G24" s="8"/>
      <c r="H24" s="8"/>
      <c r="I24" s="8"/>
      <c r="J24" s="8"/>
      <c r="K24" s="8"/>
      <c r="L24" s="8"/>
      <c r="M24" s="8"/>
      <c r="N24" s="8"/>
      <c r="P24"/>
      <c r="Q24"/>
      <c r="R24"/>
      <c r="S24"/>
    </row>
    <row r="25" spans="2:19" x14ac:dyDescent="0.25">
      <c r="E25" s="8"/>
      <c r="F25" s="8"/>
      <c r="G25" s="10"/>
      <c r="H25" s="8"/>
      <c r="I25" s="8"/>
      <c r="J25" s="8"/>
      <c r="L25" s="8"/>
      <c r="P25"/>
      <c r="Q25"/>
      <c r="R25"/>
    </row>
    <row r="26" spans="2:19" x14ac:dyDescent="0.25">
      <c r="F26" s="8"/>
      <c r="H26" s="8"/>
      <c r="I26" s="8"/>
      <c r="J26" s="11"/>
      <c r="K26" s="10"/>
      <c r="L26" s="8"/>
      <c r="P26"/>
      <c r="Q26"/>
      <c r="R26"/>
    </row>
    <row r="27" spans="2:19" x14ac:dyDescent="0.25">
      <c r="D27" s="8"/>
      <c r="H27" s="8"/>
      <c r="I27" s="8"/>
      <c r="J27" s="8"/>
      <c r="M27" s="8"/>
      <c r="P27"/>
      <c r="Q27"/>
      <c r="R27"/>
    </row>
    <row r="28" spans="2:19" x14ac:dyDescent="0.25">
      <c r="J28" s="8"/>
      <c r="P28" s="8"/>
    </row>
    <row r="29" spans="2:19" x14ac:dyDescent="0.25">
      <c r="P29" s="8"/>
    </row>
    <row r="30" spans="2:19" x14ac:dyDescent="0.25">
      <c r="P30" s="8"/>
    </row>
    <row r="32" spans="2:19" x14ac:dyDescent="0.25">
      <c r="P32" s="8"/>
    </row>
  </sheetData>
  <mergeCells count="1">
    <mergeCell ref="B1:D1"/>
  </mergeCells>
  <phoneticPr fontId="1" type="noConversion"/>
  <conditionalFormatting sqref="C18:N18">
    <cfRule type="cellIs" dxfId="2" priority="2" operator="greaterThan">
      <formula>0</formula>
    </cfRule>
    <cfRule type="cellIs" dxfId="1" priority="3" operator="lessThan">
      <formula>0</formula>
    </cfRule>
  </conditionalFormatting>
  <conditionalFormatting sqref="Q7 Q10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ECE6-BB1F-446F-A330-CC892834057C}">
  <sheetPr>
    <tabColor rgb="FF0070C0"/>
  </sheetPr>
  <dimension ref="B1:X38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.7109375" style="4" customWidth="1"/>
    <col min="2" max="2" width="17.42578125" style="6" customWidth="1"/>
    <col min="3" max="3" width="10.7109375" style="14" customWidth="1"/>
    <col min="4" max="4" width="10.7109375" style="7" customWidth="1"/>
    <col min="5" max="5" width="3.7109375" style="6" customWidth="1"/>
    <col min="6" max="6" width="17.42578125" style="6" customWidth="1"/>
    <col min="7" max="7" width="9.140625" style="14"/>
    <col min="8" max="8" width="10.7109375" style="7" customWidth="1"/>
    <col min="9" max="9" width="3.7109375" style="6" customWidth="1"/>
    <col min="10" max="10" width="17.42578125" style="6" customWidth="1"/>
    <col min="11" max="11" width="9.140625" style="14"/>
    <col min="12" max="12" width="10.7109375" style="7" customWidth="1"/>
    <col min="13" max="13" width="3.7109375" style="6" customWidth="1"/>
    <col min="14" max="14" width="17.42578125" style="6" customWidth="1"/>
    <col min="15" max="15" width="9.140625" style="14"/>
    <col min="16" max="16" width="10.7109375" style="7" customWidth="1"/>
    <col min="17" max="17" width="3.7109375" style="6" customWidth="1"/>
    <col min="18" max="18" width="17.42578125" style="6" customWidth="1"/>
    <col min="19" max="19" width="9.140625" style="14"/>
    <col min="20" max="20" width="10.7109375" style="7" customWidth="1"/>
    <col min="21" max="21" width="3.7109375" style="6" customWidth="1"/>
    <col min="22" max="22" width="17.42578125" style="6" customWidth="1"/>
    <col min="23" max="23" width="9.140625" style="14"/>
    <col min="24" max="24" width="10.7109375" style="7" customWidth="1"/>
    <col min="25" max="16384" width="9.140625" style="4"/>
  </cols>
  <sheetData>
    <row r="1" spans="2:24" s="18" customFormat="1" ht="30.75" customHeight="1" x14ac:dyDescent="0.25">
      <c r="B1" s="39" t="s">
        <v>39</v>
      </c>
      <c r="C1" s="39"/>
      <c r="D1" s="39"/>
      <c r="E1" s="39"/>
      <c r="F1" s="39"/>
      <c r="G1" s="39"/>
    </row>
    <row r="3" spans="2:24" s="27" customFormat="1" x14ac:dyDescent="0.25">
      <c r="B3" s="40" t="s">
        <v>0</v>
      </c>
      <c r="C3" s="40"/>
      <c r="D3" s="40"/>
      <c r="E3" s="1"/>
      <c r="F3" s="40" t="s">
        <v>1</v>
      </c>
      <c r="G3" s="40"/>
      <c r="H3" s="40"/>
      <c r="I3" s="1"/>
      <c r="J3" s="40" t="s">
        <v>2</v>
      </c>
      <c r="K3" s="40"/>
      <c r="L3" s="40"/>
      <c r="M3" s="1"/>
      <c r="N3" s="40" t="s">
        <v>3</v>
      </c>
      <c r="O3" s="40"/>
      <c r="P3" s="40"/>
      <c r="Q3" s="1"/>
      <c r="R3" s="40" t="s">
        <v>4</v>
      </c>
      <c r="S3" s="40"/>
      <c r="T3" s="40"/>
      <c r="U3" s="1"/>
      <c r="V3" s="40" t="s">
        <v>5</v>
      </c>
      <c r="W3" s="40"/>
      <c r="X3" s="40"/>
    </row>
    <row r="4" spans="2:24" x14ac:dyDescent="0.25">
      <c r="B4" s="28" t="s">
        <v>17</v>
      </c>
      <c r="C4" s="14" t="s">
        <v>18</v>
      </c>
      <c r="D4" s="28" t="s">
        <v>19</v>
      </c>
      <c r="E4" s="28"/>
      <c r="F4" s="28" t="s">
        <v>17</v>
      </c>
      <c r="G4" s="14" t="s">
        <v>18</v>
      </c>
      <c r="H4" s="28" t="s">
        <v>19</v>
      </c>
      <c r="I4" s="28"/>
      <c r="J4" s="28" t="s">
        <v>17</v>
      </c>
      <c r="K4" s="14" t="s">
        <v>18</v>
      </c>
      <c r="L4" s="28" t="s">
        <v>19</v>
      </c>
      <c r="M4" s="28"/>
      <c r="N4" s="28" t="s">
        <v>17</v>
      </c>
      <c r="O4" s="14" t="s">
        <v>18</v>
      </c>
      <c r="P4" s="28" t="s">
        <v>19</v>
      </c>
      <c r="Q4" s="28"/>
      <c r="R4" s="28" t="s">
        <v>17</v>
      </c>
      <c r="S4" s="14" t="s">
        <v>18</v>
      </c>
      <c r="T4" s="28" t="s">
        <v>19</v>
      </c>
      <c r="U4" s="28"/>
      <c r="V4" s="28" t="s">
        <v>17</v>
      </c>
      <c r="W4" s="14" t="s">
        <v>18</v>
      </c>
      <c r="X4" s="28" t="s">
        <v>19</v>
      </c>
    </row>
    <row r="5" spans="2:24" x14ac:dyDescent="0.25">
      <c r="B5" s="6" t="s">
        <v>42</v>
      </c>
      <c r="C5" s="14">
        <v>46023</v>
      </c>
      <c r="D5" s="7">
        <v>300</v>
      </c>
    </row>
    <row r="6" spans="2:24" x14ac:dyDescent="0.25">
      <c r="B6" s="6" t="s">
        <v>43</v>
      </c>
      <c r="C6" s="14">
        <v>46025</v>
      </c>
      <c r="D6" s="7">
        <v>60</v>
      </c>
    </row>
    <row r="7" spans="2:24" x14ac:dyDescent="0.25">
      <c r="B7" s="6" t="s">
        <v>44</v>
      </c>
      <c r="C7" s="14">
        <v>46025</v>
      </c>
      <c r="D7" s="7">
        <v>15</v>
      </c>
    </row>
    <row r="19" spans="2:2" x14ac:dyDescent="0.25">
      <c r="B19" s="26"/>
    </row>
    <row r="33" spans="10:22" x14ac:dyDescent="0.25">
      <c r="J33" s="7"/>
      <c r="S33" s="29"/>
      <c r="U33" s="7"/>
      <c r="V33" s="7"/>
    </row>
    <row r="34" spans="10:22" x14ac:dyDescent="0.25">
      <c r="V34" s="7"/>
    </row>
    <row r="38" spans="10:22" x14ac:dyDescent="0.25">
      <c r="V38" s="7"/>
    </row>
  </sheetData>
  <sortState xmlns:xlrd2="http://schemas.microsoft.com/office/spreadsheetml/2017/richdata2" ref="V6:X16">
    <sortCondition ref="W6:W16"/>
  </sortState>
  <mergeCells count="7">
    <mergeCell ref="B1:G1"/>
    <mergeCell ref="V3:X3"/>
    <mergeCell ref="B3:D3"/>
    <mergeCell ref="F3:H3"/>
    <mergeCell ref="J3:L3"/>
    <mergeCell ref="N3:P3"/>
    <mergeCell ref="R3:T3"/>
  </mergeCells>
  <pageMargins left="0.511811024" right="0.511811024" top="0.78740157499999996" bottom="0.78740157499999996" header="0.31496062000000002" footer="0.31496062000000002"/>
  <pageSetup paperSize="9" scale="75" fitToWidth="0" fitToHeight="0"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6DF2-CCDF-4A11-8AF3-8D06DDBAE847}">
  <sheetPr>
    <tabColor theme="3"/>
  </sheetPr>
  <dimension ref="B1:X3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3.7109375" style="4" customWidth="1"/>
    <col min="2" max="2" width="17.42578125" style="6" customWidth="1"/>
    <col min="3" max="3" width="9.85546875" style="14" customWidth="1"/>
    <col min="4" max="4" width="10.7109375" style="7" customWidth="1"/>
    <col min="5" max="5" width="3.7109375" style="6" customWidth="1"/>
    <col min="6" max="6" width="17.42578125" style="6" customWidth="1"/>
    <col min="7" max="7" width="9.85546875" style="14" customWidth="1"/>
    <col min="8" max="8" width="10.7109375" style="7" customWidth="1"/>
    <col min="9" max="9" width="3.7109375" style="6" customWidth="1"/>
    <col min="10" max="10" width="17.42578125" style="6" customWidth="1"/>
    <col min="11" max="11" width="9.85546875" style="14" customWidth="1"/>
    <col min="12" max="12" width="10.7109375" style="7" customWidth="1"/>
    <col min="13" max="13" width="3.7109375" style="6" customWidth="1"/>
    <col min="14" max="14" width="17.42578125" style="6" customWidth="1"/>
    <col min="15" max="15" width="9.85546875" style="14" customWidth="1"/>
    <col min="16" max="16" width="10.7109375" style="7" customWidth="1"/>
    <col min="17" max="17" width="3.7109375" style="6" customWidth="1"/>
    <col min="18" max="18" width="17.42578125" style="6" customWidth="1"/>
    <col min="19" max="19" width="9.85546875" style="14" customWidth="1"/>
    <col min="20" max="20" width="10.7109375" style="7" customWidth="1"/>
    <col min="21" max="21" width="3.7109375" style="6" customWidth="1"/>
    <col min="22" max="22" width="17.42578125" style="6" customWidth="1"/>
    <col min="23" max="23" width="9.85546875" style="14" customWidth="1"/>
    <col min="24" max="24" width="10.7109375" style="7" customWidth="1"/>
    <col min="25" max="16384" width="9.140625" style="4"/>
  </cols>
  <sheetData>
    <row r="1" spans="2:24" s="18" customFormat="1" ht="30.75" customHeight="1" x14ac:dyDescent="0.25">
      <c r="B1" s="39" t="s">
        <v>38</v>
      </c>
      <c r="C1" s="39"/>
      <c r="D1" s="39"/>
      <c r="E1" s="39"/>
      <c r="F1" s="39"/>
      <c r="G1" s="39"/>
    </row>
    <row r="3" spans="2:24" x14ac:dyDescent="0.25">
      <c r="B3" s="40" t="s">
        <v>6</v>
      </c>
      <c r="C3" s="40"/>
      <c r="D3" s="40"/>
      <c r="E3" s="1"/>
      <c r="F3" s="40" t="s">
        <v>7</v>
      </c>
      <c r="G3" s="40"/>
      <c r="H3" s="40"/>
      <c r="I3" s="1"/>
      <c r="J3" s="40" t="s">
        <v>8</v>
      </c>
      <c r="K3" s="40"/>
      <c r="L3" s="40"/>
      <c r="M3" s="1"/>
      <c r="N3" s="40" t="s">
        <v>9</v>
      </c>
      <c r="O3" s="40"/>
      <c r="P3" s="40"/>
      <c r="Q3" s="1"/>
      <c r="R3" s="40" t="s">
        <v>10</v>
      </c>
      <c r="S3" s="40"/>
      <c r="T3" s="40"/>
      <c r="U3" s="1"/>
      <c r="V3" s="40" t="s">
        <v>11</v>
      </c>
      <c r="W3" s="40"/>
      <c r="X3" s="40"/>
    </row>
    <row r="4" spans="2:24" x14ac:dyDescent="0.25">
      <c r="B4" s="6" t="s">
        <v>17</v>
      </c>
      <c r="C4" s="14" t="s">
        <v>18</v>
      </c>
      <c r="D4" s="7" t="s">
        <v>19</v>
      </c>
      <c r="F4" s="6" t="s">
        <v>17</v>
      </c>
      <c r="G4" s="14" t="s">
        <v>18</v>
      </c>
      <c r="H4" s="7" t="s">
        <v>19</v>
      </c>
      <c r="J4" s="6" t="s">
        <v>17</v>
      </c>
      <c r="K4" s="14" t="s">
        <v>18</v>
      </c>
      <c r="L4" s="7" t="s">
        <v>19</v>
      </c>
      <c r="N4" s="6" t="s">
        <v>17</v>
      </c>
      <c r="O4" s="14" t="s">
        <v>18</v>
      </c>
      <c r="P4" s="7" t="s">
        <v>19</v>
      </c>
      <c r="R4" s="6" t="s">
        <v>17</v>
      </c>
      <c r="S4" s="14" t="s">
        <v>18</v>
      </c>
      <c r="T4" s="7" t="s">
        <v>19</v>
      </c>
      <c r="V4" s="6" t="s">
        <v>17</v>
      </c>
      <c r="W4" s="14" t="s">
        <v>18</v>
      </c>
      <c r="X4" s="7" t="s">
        <v>19</v>
      </c>
    </row>
    <row r="33" spans="7:14" x14ac:dyDescent="0.25">
      <c r="N33" s="7"/>
    </row>
    <row r="34" spans="7:14" x14ac:dyDescent="0.25">
      <c r="G34" s="15"/>
    </row>
  </sheetData>
  <sortState xmlns:xlrd2="http://schemas.microsoft.com/office/spreadsheetml/2017/richdata2" ref="F5:H32">
    <sortCondition ref="G5:G32"/>
  </sortState>
  <mergeCells count="7">
    <mergeCell ref="V3:X3"/>
    <mergeCell ref="B1:G1"/>
    <mergeCell ref="B3:D3"/>
    <mergeCell ref="F3:H3"/>
    <mergeCell ref="J3:L3"/>
    <mergeCell ref="N3:P3"/>
    <mergeCell ref="R3:T3"/>
  </mergeCells>
  <pageMargins left="0.511811024" right="0.511811024" top="0.78740157499999996" bottom="0.78740157499999996" header="0.31496062000000002" footer="0.31496062000000002"/>
  <pageSetup paperSize="9" scale="75" fitToWidth="0" fitToHeight="0"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</vt:lpstr>
      <vt:lpstr>Cotidiano</vt:lpstr>
      <vt:lpstr>GPNP - 1°S</vt:lpstr>
      <vt:lpstr>GPNP - 2°S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Roberto</dc:creator>
  <cp:keywords/>
  <dc:description/>
  <cp:lastModifiedBy>Marcos Junior</cp:lastModifiedBy>
  <cp:revision/>
  <dcterms:created xsi:type="dcterms:W3CDTF">2021-05-03T21:21:38Z</dcterms:created>
  <dcterms:modified xsi:type="dcterms:W3CDTF">2026-01-04T17:15:41Z</dcterms:modified>
  <cp:category/>
  <cp:contentStatus/>
</cp:coreProperties>
</file>